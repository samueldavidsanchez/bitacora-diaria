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258" documentId="8_{4616FF0F-C10E-4DFE-8F27-869B9C60E0F9}" xr6:coauthVersionLast="47" xr6:coauthVersionMax="47" xr10:uidLastSave="{5FAC2C63-55EA-4AD5-8E14-8758A7E571A5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<sst xmlns="http://schemas.openxmlformats.org/spreadsheetml/2006/main" count="752" uniqueCount="335">
  <si>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</si>
  <si>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</si>
  <si>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</si>
  <si>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</si>
  <si>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</si>
  <si>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</si>
  <si>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</si>
  <si>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</si>
  <si>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</si>
  <si>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</si>
  <si>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</si>
  <si>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</si>
  <si>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</si>
  <si>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</si>
  <si>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</si>
  <si>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</si>
  <si>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</si>
  <si>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</si>
  <si>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</si>
  <si>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</si>
  <si>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</si>
  <si>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</si>
  <si>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</si>
  <si>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</si>
  <si>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</si>
  <si>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</si>
  <si>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</si>
  <si>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</si>
  <si>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</si>
  <si>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</si>
  <si>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</si>
  <si>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</si>
  <si>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</si>
  <si>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</si>
  <si>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</si>
  <si>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</si>
  <si>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</si>
  <si>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</si>
  <si>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</si>
  <si>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</si>
  <si>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</si>
  <si>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</si>
  <si>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</si>
  <si>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</si>
  <si>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</si>
  <si>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</si>
  <si>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</si>
  <si>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</si>
  <si>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</si>
  <si>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</si>
  <si>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</si>
  <si>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</si>
  <si>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</si>
  <si>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</si>
  <si>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</si>
  <si>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</si>
  <si>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</si>
  <si>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</si>
  <si>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</si>
  <si>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</si>
  <si>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</si>
  <si>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</si>
  <si>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</si>
  <si>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</si>
  <si>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</si>
  <si>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</si>
  <si>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</si>
  <si>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</si>
  <si>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</si>
  <si>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</si>
  <si>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</si>
  <si>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</si>
  <si>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</si>
  <si>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</si>
  <si>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</si>
  <si>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</si>
  <si>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</si>
  <si>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</si>
  <si>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</si>
  <si>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</si>
  <si>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</si>
  <si>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</si>
  <si>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</si>
  <si>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</si>
  <si>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</si>
  <si>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</si>
  <si>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</si>
  <si>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</si>
  <si>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</si>
  <si>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</si>
  <si>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</si>
  <si>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</si>
  <si>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</si>
  <si>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</si>
  <si>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</si>
  <si>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</si>
  <si>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</si>
  <si>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</si>
  <si>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</si>
  <si>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</si>
  <si>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</si>
  <si>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</si>
  <si>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</si>
  <si>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</si>
  <si>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</si>
  <si>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</si>
  <si>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</si>
  <si>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</si>
  <si>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</si>
  <si>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</si>
  <si>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</si>
  <si>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</si>
  <si>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</si>
  <si>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</si>
  <si>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</si>
  <si>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</si>
  <si>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</si>
  <si>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</si>
  <si>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</si>
  <si>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</si>
  <si>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</si>
  <si>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</si>
  <si>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</si>
  <si>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</si>
  <si>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</si>
  <si>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</si>
  <si>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</si>
  <si>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</si>
  <si>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</si>
  <si>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</si>
  <si>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</si>
  <si>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</si>
  <si>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</si>
  <si>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</si>
  <si>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</si>
  <si>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</si>
  <si>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</si>
  <si>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</si>
  <si>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</si>
  <si>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</si>
  <si>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</si>
  <si>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</si>
  <si>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</si>
  <si>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</si>
  <si>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</si>
  <si>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</si>
  <si>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</si>
  <si>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</si>
  <si>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</si>
  <si>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</si>
  <si>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</si>
  <si>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</si>
  <si>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</si>
  <si>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</si>
  <si>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</si>
  <si>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</si>
  <si>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</si>
  <si>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</si>
  <si>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</si>
  <si>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</si>
  <si>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</si>
  <si>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</si>
  <si>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</si>
  <si>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</si>
  <si>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</si>
  <si>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</si>
  <si>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</si>
  <si>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</si>
  <si>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</si>
  <si>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</si>
  <si>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</si>
  <si>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</si>
  <si>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</si>
  <si>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</si>
  <si>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</si>
  <si>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</si>
  <si>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</si>
  <si>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</si>
  <si>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</si>
  <si>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</si>
  <si>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</si>
  <si>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</si>
  <si>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</si>
  <si>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</si>
  <si>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</si>
  <si>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</si>
  <si>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</si>
  <si>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</si>
  <si>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</si>
  <si>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</si>
  <si>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</si>
  <si>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</si>
  <si>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</si>
  <si>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</si>
  <si>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</si>
  <si>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</si>
  <si>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</si>
  <si>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</si>
  <si>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</si>
  <si>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</si>
  <si>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</si>
  <si>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</si>
  <si>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</si>
  <si>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</si>
  <si>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</si>
  <si>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</si>
  <si>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</si>
  <si>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</si>
  <si>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</si>
  <si>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</si>
  <si>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</si>
  <si>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</si>
  <si>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</si>
  <si>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</si>
  <si>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</si>
  <si>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</si>
  <si>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</si>
  <si>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</si>
  <si>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</si>
  <si>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</si>
  <si>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</si>
  <si>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</si>
  <si>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</si>
  <si>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</si>
  <si>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</si>
  <si>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</si>
  <si>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</si>
  <si>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</si>
  <si>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</si>
  <si>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</si>
  <si>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</si>
  <si>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</si>
  <si>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</si>
  <si>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</si>
  <si>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</si>
  <si>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</si>
  <si>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</si>
  <si>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</si>
  <si>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</si>
  <si>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</si>
  <si>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</si>
  <si>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</si>
  <si>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</si>
  <si>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</si>
  <si>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</si>
  <si>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</si>
  <si>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</si>
  <si>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</si>
  <si>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</si>
  <si>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</si>
  <si>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</si>
  <si>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</si>
  <si>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</si>
  <si>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</si>
  <si>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</si>
  <si>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</si>
  <si>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</si>
  <si>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</si>
  <si>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</si>
  <si>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</si>
  <si>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</si>
  <si>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</si>
  <si>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</si>
  <si>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</si>
  <si>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</si>
  <si>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</si>
  <si>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</si>
  <si>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</si>
  <si>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</si>
  <si>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</si>
  <si>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</si>
  <si>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</si>
  <si>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</si>
  <si>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</si>
  <si>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</si>
  <si>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</si>
  <si>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</si>
  <si>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</si>
  <si>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</si>
  <si>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</si>
  <si>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</si>
  <si>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</si>
  <si>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</si>
  <si>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</si>
  <si>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</si>
  <si>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</si>
  <si>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</si>
  <si>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</si>
  <si>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</si>
  <si>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</si>
  <si>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</si>
  <si>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</si>
  <si>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</si>
  <si>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</si>
  <si>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</si>
  <si>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</si>
  <si>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</si>
  <si>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</si>
  <si>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</si>
  <si>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</si>
  <si>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</si>
  <si>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</si>
  <si>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</si>
  <si>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</si>
  <si>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</si>
  <si>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</si>
  <si>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</si>
  <si>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</si>
  <si>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</si>
  <si>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</si>
  <si>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Re-Configuracion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</si>
  <si>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</si>
  <si>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</si>
  <si>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</si>
  <si>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</si>
  <si>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</si>
  <si>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</si>
  <si>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</si>
  <si>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</si>
  <si>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</si>
  <si>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</si>
  <si>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</si>
  <si>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Cambio de Hardware</t>
  </si>
  <si>
    <t>IMEI</t>
  </si>
  <si>
    <t>Revisado</t>
  </si>
  <si>
    <t>PHLF88</t>
  </si>
  <si>
    <t>9BM634074RB317665</t>
  </si>
  <si>
    <t>Buses ISKRA</t>
  </si>
  <si>
    <t>TFWK28</t>
  </si>
  <si>
    <t>Kamaleon 2</t>
  </si>
  <si>
    <t>9BM634016RB330716</t>
  </si>
  <si>
    <t>9BM634011RB333200</t>
  </si>
  <si>
    <t>9BM634016RB331072</t>
  </si>
  <si>
    <t>VIGGO</t>
  </si>
  <si>
    <t>Configuracion DCT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</si>
</sst>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140" totalsRowShown="0">
  <autoFilter ref="A1:J140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41"/>
  <sheetViews>
    <sheetView tabSelected="1" workbookViewId="0">
      <pane ySplit="1" topLeftCell="A115" activePane="bottomLeft" state="frozen"/>
      <selection pane="bottomLeft" activeCell="D139" sqref="D139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6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8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8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8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8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8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8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8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8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8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8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8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8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8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8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8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8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8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8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8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8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8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8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8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8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8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8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8" t="s">
        <v>74</v>
      </c>
      <c r="D28" s="9">
        <v>46081</v>
      </c>
      <c r="E28" s="8" t="s">
        <v>54</v>
      </c>
      <c r="F28" s="10" t="s">
        <v>14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8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8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8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8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8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8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8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8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8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8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8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8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8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8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8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8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8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8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8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8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8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8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8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8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8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 ht="14.5" x14ac:dyDescent="0.35">
      <c r="A54" s="7" t="s">
        <v>95</v>
      </c>
      <c r="B54" s="8" t="s">
        <v>133</v>
      </c>
      <c r="C54" s="8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8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8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8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 ht="14.5" x14ac:dyDescent="0.35">
      <c r="A58" s="7" t="s">
        <v>95</v>
      </c>
      <c r="B58" s="8" t="s">
        <v>141</v>
      </c>
      <c r="C58" s="8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8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8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8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8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8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8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8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8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8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 ht="14.5" x14ac:dyDescent="0.35">
      <c r="A68" s="7" t="s">
        <v>149</v>
      </c>
      <c r="B68" s="8" t="s">
        <v>162</v>
      </c>
      <c r="C68" s="8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8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8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8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8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8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8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8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8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8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8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8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8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8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8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8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8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8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8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8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8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8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8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8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8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8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8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8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8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8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8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8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8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8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8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8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8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8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8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8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8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8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8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8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8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8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8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8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8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8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8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8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8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8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8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8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8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8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8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8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8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3" t="s">
        <v>303</v>
      </c>
      <c r="B130" s="34" t="s">
        <v>304</v>
      </c>
      <c r="C130" s="34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3" t="s">
        <v>307</v>
      </c>
      <c r="B131" s="34" t="s">
        <v>308</v>
      </c>
      <c r="C131" s="34" t="s">
        <v>309</v>
      </c>
      <c r="D131" s="35"/>
      <c r="E131" s="34"/>
      <c r="F131" s="10" t="s">
        <v>77</v>
      </c>
      <c r="G131" s="27">
        <v>46065</v>
      </c>
      <c r="H131" s="15" t="s">
        <v>334</v>
      </c>
      <c r="I131" s="14" t="s">
        <v>79</v>
      </c>
    </row>
    <row r="132" spans="1:10" ht="15" customHeight="1" x14ac:dyDescent="0.35">
      <c r="A132" s="33" t="s">
        <v>65</v>
      </c>
      <c r="B132" s="34" t="s">
        <v>311</v>
      </c>
      <c r="C132" s="34" t="s">
        <v>312</v>
      </c>
      <c r="D132" s="35"/>
      <c r="E132" s="34"/>
      <c r="F132" s="10" t="s">
        <v>77</v>
      </c>
      <c r="G132" s="27">
        <v>46065</v>
      </c>
      <c r="H132" s="15" t="s">
        <v>334</v>
      </c>
      <c r="I132" s="14" t="s">
        <v>79</v>
      </c>
    </row>
    <row r="133" spans="1:10" ht="15" customHeight="1" x14ac:dyDescent="0.35">
      <c r="A133" s="33" t="s">
        <v>313</v>
      </c>
      <c r="B133" s="34" t="s">
        <v>314</v>
      </c>
      <c r="C133" s="34" t="s">
        <v>315</v>
      </c>
      <c r="D133" s="35"/>
      <c r="E133" s="34"/>
      <c r="F133" s="36" t="s">
        <v>77</v>
      </c>
      <c r="G133" s="27">
        <v>46065</v>
      </c>
      <c r="H133" s="15" t="s">
        <v>334</v>
      </c>
      <c r="I133" s="14" t="s">
        <v>79</v>
      </c>
    </row>
    <row r="134" spans="1:10" ht="15" customHeight="1" x14ac:dyDescent="0.35">
      <c r="A134" s="33" t="s">
        <v>313</v>
      </c>
      <c r="B134" s="34" t="s">
        <v>316</v>
      </c>
      <c r="C134" s="34" t="s">
        <v>317</v>
      </c>
      <c r="D134" s="35"/>
      <c r="E134" s="34"/>
      <c r="F134" s="36" t="s">
        <v>77</v>
      </c>
      <c r="G134" s="27">
        <v>46065</v>
      </c>
      <c r="H134" s="15" t="s">
        <v>334</v>
      </c>
      <c r="I134" s="14" t="s">
        <v>79</v>
      </c>
    </row>
    <row r="135" spans="1:10" ht="15" customHeight="1" x14ac:dyDescent="0.35">
      <c r="A135" s="33" t="s">
        <v>276</v>
      </c>
      <c r="B135" s="34" t="s">
        <v>318</v>
      </c>
      <c r="C135" s="34" t="s">
        <v>319</v>
      </c>
      <c r="D135" s="35"/>
      <c r="E135" s="34"/>
      <c r="F135" s="36" t="s">
        <v>77</v>
      </c>
      <c r="G135" s="27">
        <v>46065</v>
      </c>
      <c r="H135" s="15" t="s">
        <v>334</v>
      </c>
      <c r="I135" s="28" t="s">
        <v>79</v>
      </c>
    </row>
    <row r="136" spans="1:10" ht="15" customHeight="1" x14ac:dyDescent="0.35">
      <c r="A136" s="33" t="s">
        <v>320</v>
      </c>
      <c r="B136" s="34" t="s">
        <v>321</v>
      </c>
      <c r="C136" t="s">
        <v>325</v>
      </c>
      <c r="D136" s="35"/>
      <c r="E136" s="34"/>
      <c r="F136" s="36" t="s">
        <v>77</v>
      </c>
      <c r="G136" s="27">
        <v>46071</v>
      </c>
      <c r="H136" s="15" t="s">
        <v>322</v>
      </c>
      <c r="I136" s="15" t="s">
        <v>79</v>
      </c>
      <c r="J136" s="38"/>
    </row>
    <row r="137" spans="1:10" ht="15" customHeight="1" x14ac:dyDescent="0.35">
      <c r="A137" s="33" t="s">
        <v>327</v>
      </c>
      <c r="B137" s="34" t="s">
        <v>326</v>
      </c>
      <c r="C137" s="34" t="s">
        <v>328</v>
      </c>
      <c r="D137" s="35"/>
      <c r="E137" s="34"/>
      <c r="F137" s="36" t="s">
        <v>77</v>
      </c>
      <c r="G137" s="27">
        <v>46071</v>
      </c>
      <c r="H137" s="15" t="s">
        <v>310</v>
      </c>
      <c r="I137" s="15" t="s">
        <v>329</v>
      </c>
      <c r="J137" s="38"/>
    </row>
    <row r="138" spans="1:10" ht="15" customHeight="1" x14ac:dyDescent="0.35">
      <c r="A138" s="7" t="s">
        <v>333</v>
      </c>
      <c r="B138" s="8" t="s">
        <v>330</v>
      </c>
      <c r="C138" s="8"/>
      <c r="D138" s="9"/>
      <c r="E138" s="8"/>
      <c r="F138" s="10" t="s">
        <v>77</v>
      </c>
      <c r="G138" s="27">
        <v>46071</v>
      </c>
      <c r="H138" s="15" t="s">
        <v>310</v>
      </c>
      <c r="I138" s="15" t="s">
        <v>329</v>
      </c>
      <c r="J138" s="37"/>
    </row>
    <row r="139" spans="1:10" ht="15" customHeight="1" x14ac:dyDescent="0.35">
      <c r="A139" s="7" t="s">
        <v>333</v>
      </c>
      <c r="B139" s="34" t="s">
        <v>331</v>
      </c>
      <c r="C139" s="34"/>
      <c r="D139" s="35"/>
      <c r="E139" s="34"/>
      <c r="F139" s="10" t="s">
        <v>77</v>
      </c>
      <c r="G139" s="27">
        <v>46071</v>
      </c>
      <c r="H139" s="15" t="s">
        <v>310</v>
      </c>
      <c r="I139" s="15" t="s">
        <v>329</v>
      </c>
      <c r="J139" s="38"/>
    </row>
    <row r="140" spans="1:10" ht="15" customHeight="1" x14ac:dyDescent="0.35">
      <c r="A140" s="7" t="s">
        <v>333</v>
      </c>
      <c r="B140" s="34" t="s">
        <v>332</v>
      </c>
      <c r="C140" s="34"/>
      <c r="D140" s="35"/>
      <c r="E140" s="34"/>
      <c r="F140" s="10" t="s">
        <v>77</v>
      </c>
      <c r="G140" s="27">
        <v>46071</v>
      </c>
      <c r="H140" s="15" t="s">
        <v>310</v>
      </c>
      <c r="I140" s="15" t="s">
        <v>329</v>
      </c>
      <c r="J140" s="38"/>
    </row>
    <row r="141" spans="1:10" ht="15" customHeight="1" x14ac:dyDescent="0.35">
      <c r="A141" s="37"/>
      <c r="B141" s="37"/>
      <c r="C141" s="37"/>
      <c r="D141" s="14"/>
      <c r="E141" s="37"/>
      <c r="F141" s="37"/>
      <c r="G141" s="12"/>
      <c r="H141" s="12"/>
      <c r="I141" s="12"/>
      <c r="J141" s="3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323</v>
      </c>
      <c r="G3" s="2" t="e">
        <f ca="1">VLOOKUP(D3,Hoja2!G:K,5,FALSE)</f>
        <v>#N/A</v>
      </c>
      <c r="H3" s="3" t="s">
        <v>324</v>
      </c>
      <c r="I3" s="4">
        <v>46043</v>
      </c>
    </row>
    <row r="4" spans="4:14" x14ac:dyDescent="0.35">
      <c r="D4" s="1">
        <v>868589060674226</v>
      </c>
      <c r="F4" t="s">
        <v>323</v>
      </c>
      <c r="G4" s="2" t="e">
        <f ca="1">VLOOKUP(D4,Hoja2!G:K,5,FALSE)</f>
        <v>#N/A</v>
      </c>
      <c r="H4" s="3" t="s">
        <v>324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2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2026-02-18T18:35:44Z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